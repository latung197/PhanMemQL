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1. Hạ tầng &amp; Phần cứng" sheetId="2" state="visible" r:id="rId2"/>
    <sheet xmlns:r="http://schemas.openxmlformats.org/officeDocument/2006/relationships" name="2. Phần mềm &amp; Truy cập" sheetId="3" state="visible" r:id="rId3"/>
    <sheet xmlns:r="http://schemas.openxmlformats.org/officeDocument/2006/relationships" name="3. Thiết lập hệ thống" sheetId="4" state="visible" r:id="rId4"/>
    <sheet xmlns:r="http://schemas.openxmlformats.org/officeDocument/2006/relationships" name="4. Người dùng" sheetId="5" state="visible" r:id="rId5"/>
    <sheet xmlns:r="http://schemas.openxmlformats.org/officeDocument/2006/relationships" name="5. Danh mục dữ liệu" sheetId="6" state="visible" r:id="rId6"/>
    <sheet xmlns:r="http://schemas.openxmlformats.org/officeDocument/2006/relationships" name="6. Nhân sự &amp; Lịch" sheetId="7" state="visible" r:id="rId7"/>
  </sheets>
  <definedNames>
    <definedName name="_xlnm._FilterDatabase" localSheetId="1" hidden="1">'1. Hạ tầng &amp; Phần cứng'!$A$4:$I$23</definedName>
    <definedName name="_xlnm._FilterDatabase" localSheetId="2" hidden="1">'2. Phần mềm &amp; Truy cập'!$A$4:$I$19</definedName>
    <definedName name="_xlnm._FilterDatabase" localSheetId="3" hidden="1">'3. Thiết lập hệ thống'!$A$4:$I$23</definedName>
    <definedName name="_xlnm._FilterDatabase" localSheetId="4" hidden="1">'4. Người dùng'!$A$4:$L$55</definedName>
    <definedName name="_xlnm._FilterDatabase" localSheetId="5" hidden="1">'5. Danh mục dữ liệu'!$A$4:$I$19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1F6FB2"/>
      <sz val="15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C0392B"/>
      <sz val="10"/>
    </font>
    <font>
      <name val="Arial"/>
      <i val="1"/>
      <sz val="10"/>
    </font>
    <font>
      <name val="Arial"/>
      <b val="1"/>
      <color rgb="001F6FB2"/>
      <sz val="16"/>
    </font>
    <font>
      <name val="Arial"/>
      <b val="1"/>
      <color rgb="001F6FB2"/>
      <sz val="12"/>
    </font>
    <font>
      <name val="Arial"/>
      <b val="1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1F6FB2"/>
      </patternFill>
    </fill>
    <fill>
      <patternFill patternType="solid">
        <fgColor rgb="00FFF9DB"/>
      </patternFill>
    </fill>
    <fill>
      <patternFill patternType="solid">
        <fgColor rgb="00EEEEEE"/>
      </patternFill>
    </fill>
    <fill>
      <patternFill patternType="solid">
        <fgColor rgb="00DCEBF7"/>
      </patternFill>
    </fill>
  </fills>
  <borders count="2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8" fillId="0" borderId="0" pivotButton="0" quotePrefix="0" xfId="0"/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164" fontId="4" fillId="3" borderId="1" applyAlignment="1" pivotButton="0" quotePrefix="0" xfId="0">
      <alignment horizontal="left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9" fontId="4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9" fontId="5" fillId="5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164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name val="Arial"/>
        <color rgb="001E8449"/>
      </font>
      <fill>
        <patternFill patternType="solid">
          <fgColor rgb="00D5F5E3"/>
        </patternFill>
      </fill>
    </dxf>
    <dxf>
      <font>
        <name val="Arial"/>
        <color rgb="00B9770E"/>
      </font>
      <fill>
        <patternFill patternType="solid">
          <fgColor rgb="00FDEBD0"/>
        </patternFill>
      </fill>
    </dxf>
    <dxf>
      <font>
        <name val="Arial"/>
        <color rgb="00C0392B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6" customHeight="1">
      <c r="A1" s="1" t="inlineStr">
        <is>
          <t>DANH MỤC CHUẨN BỊ TRIỂN KHAI S-ERP TẠI HIỆN TRƯỜNG</t>
        </is>
      </c>
    </row>
    <row r="3">
      <c r="A3" s="2" t="inlineStr">
        <is>
          <t>Tên khách hàng</t>
        </is>
      </c>
      <c r="B3" s="3" t="n"/>
      <c r="C3" s="4" t="n"/>
      <c r="D3" s="4" t="n"/>
      <c r="E3" s="4" t="n"/>
      <c r="F3" s="4" t="n"/>
      <c r="G3" s="4" t="n"/>
    </row>
    <row r="4">
      <c r="A4" s="2" t="inlineStr">
        <is>
          <t>Địa chỉ triển khai</t>
        </is>
      </c>
      <c r="B4" s="3" t="n"/>
      <c r="C4" s="4" t="n"/>
      <c r="D4" s="4" t="n"/>
      <c r="E4" s="4" t="n"/>
      <c r="F4" s="4" t="n"/>
      <c r="G4" s="4" t="n"/>
    </row>
    <row r="5">
      <c r="A5" s="2" t="inlineStr">
        <is>
          <t>Người liên hệ chính</t>
        </is>
      </c>
      <c r="B5" s="3" t="n"/>
      <c r="C5" s="4" t="n"/>
      <c r="D5" s="4" t="n"/>
      <c r="E5" s="4" t="n"/>
      <c r="F5" s="4" t="n"/>
      <c r="G5" s="4" t="n"/>
    </row>
    <row r="6">
      <c r="A6" s="2" t="inlineStr">
        <is>
          <t>Điện thoại / Email</t>
        </is>
      </c>
      <c r="B6" s="3" t="n"/>
      <c r="C6" s="4" t="n"/>
      <c r="D6" s="4" t="n"/>
      <c r="E6" s="4" t="n"/>
      <c r="F6" s="4" t="n"/>
      <c r="G6" s="4" t="n"/>
    </row>
    <row r="7">
      <c r="A7" s="2" t="inlineStr">
        <is>
          <t>Ngày dự kiến đến hiện trường</t>
        </is>
      </c>
      <c r="B7" s="5" t="n"/>
      <c r="C7" s="4" t="n"/>
      <c r="D7" s="4" t="n"/>
      <c r="E7" s="4" t="n"/>
      <c r="F7" s="4" t="n"/>
      <c r="G7" s="4" t="n"/>
    </row>
    <row r="8">
      <c r="A8" s="2" t="inlineStr">
        <is>
          <t>Phụ trách triển khai (bên cài đặt)</t>
        </is>
      </c>
      <c r="B8" s="3" t="n"/>
      <c r="C8" s="4" t="n"/>
      <c r="D8" s="4" t="n"/>
      <c r="E8" s="4" t="n"/>
      <c r="F8" s="4" t="n"/>
      <c r="G8" s="4" t="n"/>
    </row>
    <row r="9">
      <c r="A9" s="2" t="inlineStr">
        <is>
          <t>Ngày cập nhật file</t>
        </is>
      </c>
      <c r="B9" s="5" t="n"/>
      <c r="C9" s="4" t="n"/>
      <c r="D9" s="4" t="n"/>
      <c r="E9" s="4" t="n"/>
      <c r="F9" s="4" t="n"/>
      <c r="G9" s="4" t="n"/>
    </row>
    <row r="11">
      <c r="A11" s="6" t="inlineStr">
        <is>
          <t>TIẾN ĐỘ CHUẨN BỊ</t>
        </is>
      </c>
    </row>
    <row r="12" ht="30" customHeight="1">
      <c r="A12" s="7" t="inlineStr">
        <is>
          <t>Nhóm</t>
        </is>
      </c>
      <c r="B12" s="7" t="inlineStr">
        <is>
          <t>Tổng hạng mục</t>
        </is>
      </c>
      <c r="C12" s="7" t="inlineStr">
        <is>
          <t>Đã xong</t>
        </is>
      </c>
      <c r="D12" s="7" t="inlineStr">
        <is>
          <t>Đang chuẩn bị</t>
        </is>
      </c>
      <c r="E12" s="7" t="inlineStr">
        <is>
          <t>Chưa chuẩn bị</t>
        </is>
      </c>
      <c r="F12" s="7" t="inlineStr">
        <is>
          <t>Không áp dụng</t>
        </is>
      </c>
      <c r="G12" s="7" t="inlineStr">
        <is>
          <t>% hoàn thành</t>
        </is>
      </c>
    </row>
    <row r="13">
      <c r="A13" s="8" t="inlineStr">
        <is>
          <t>1. Hạ tầng &amp; Phần cứng</t>
        </is>
      </c>
      <c r="B13" s="9">
        <f>COUNTA('1. Hạ tầng &amp; Phần cứng'!H5:H200)</f>
        <v/>
      </c>
      <c r="C13" s="9">
        <f>COUNTIF('1. Hạ tầng &amp; Phần cứng'!H5:H200,"Đã xong")</f>
        <v/>
      </c>
      <c r="D13" s="9">
        <f>COUNTIF('1. Hạ tầng &amp; Phần cứng'!H5:H200,"Đang chuẩn bị")</f>
        <v/>
      </c>
      <c r="E13" s="9">
        <f>COUNTIF('1. Hạ tầng &amp; Phần cứng'!H5:H200,"Chưa chuẩn bị")</f>
        <v/>
      </c>
      <c r="F13" s="9">
        <f>COUNTIF('1. Hạ tầng &amp; Phần cứng'!H5:H200,"Không áp dụng")</f>
        <v/>
      </c>
      <c r="G13" s="10">
        <f>IF(B13-F13=0,0,C13/(B13-F13))</f>
        <v/>
      </c>
    </row>
    <row r="14">
      <c r="A14" s="8" t="inlineStr">
        <is>
          <t>2. Phần mềm &amp; Truy cập</t>
        </is>
      </c>
      <c r="B14" s="9">
        <f>COUNTA('2. Phần mềm &amp; Truy cập'!H5:H200)</f>
        <v/>
      </c>
      <c r="C14" s="9">
        <f>COUNTIF('2. Phần mềm &amp; Truy cập'!H5:H200,"Đã xong")</f>
        <v/>
      </c>
      <c r="D14" s="9">
        <f>COUNTIF('2. Phần mềm &amp; Truy cập'!H5:H200,"Đang chuẩn bị")</f>
        <v/>
      </c>
      <c r="E14" s="9">
        <f>COUNTIF('2. Phần mềm &amp; Truy cập'!H5:H200,"Chưa chuẩn bị")</f>
        <v/>
      </c>
      <c r="F14" s="9">
        <f>COUNTIF('2. Phần mềm &amp; Truy cập'!H5:H200,"Không áp dụng")</f>
        <v/>
      </c>
      <c r="G14" s="10">
        <f>IF(B14-F14=0,0,C14/(B14-F14))</f>
        <v/>
      </c>
    </row>
    <row r="15">
      <c r="A15" s="8" t="inlineStr">
        <is>
          <t>3. Thiết lập hệ thống</t>
        </is>
      </c>
      <c r="B15" s="9">
        <f>COUNTA('3. Thiết lập hệ thống'!H5:H200)</f>
        <v/>
      </c>
      <c r="C15" s="9">
        <f>COUNTIF('3. Thiết lập hệ thống'!H5:H200,"Đã xong")</f>
        <v/>
      </c>
      <c r="D15" s="9">
        <f>COUNTIF('3. Thiết lập hệ thống'!H5:H200,"Đang chuẩn bị")</f>
        <v/>
      </c>
      <c r="E15" s="9">
        <f>COUNTIF('3. Thiết lập hệ thống'!H5:H200,"Chưa chuẩn bị")</f>
        <v/>
      </c>
      <c r="F15" s="9">
        <f>COUNTIF('3. Thiết lập hệ thống'!H5:H200,"Không áp dụng")</f>
        <v/>
      </c>
      <c r="G15" s="10">
        <f>IF(B15-F15=0,0,C15/(B15-F15))</f>
        <v/>
      </c>
    </row>
    <row r="16">
      <c r="A16" s="8" t="inlineStr">
        <is>
          <t>5. Danh mục dữ liệu</t>
        </is>
      </c>
      <c r="B16" s="9">
        <f>COUNTA('5. Danh mục dữ liệu'!H5:H19)</f>
        <v/>
      </c>
      <c r="C16" s="9">
        <f>COUNTIF('5. Danh mục dữ liệu'!H5:H19,"Đã xong")</f>
        <v/>
      </c>
      <c r="D16" s="9">
        <f>COUNTIF('5. Danh mục dữ liệu'!H5:H19,"Đang chuẩn bị")</f>
        <v/>
      </c>
      <c r="E16" s="9">
        <f>COUNTIF('5. Danh mục dữ liệu'!H5:H19,"Chưa chuẩn bị")</f>
        <v/>
      </c>
      <c r="F16" s="9">
        <f>COUNTIF('5. Danh mục dữ liệu'!H5:H19,"Không áp dụng")</f>
        <v/>
      </c>
      <c r="G16" s="10">
        <f>IF(B16-F16=0,0,C16/(B16-F16))</f>
        <v/>
      </c>
    </row>
    <row r="17">
      <c r="A17" s="2" t="inlineStr">
        <is>
          <t>TỔNG CỘNG</t>
        </is>
      </c>
      <c r="B17" s="11">
        <f>SUM(B13:B16)</f>
        <v/>
      </c>
      <c r="C17" s="11">
        <f>SUM(C13:C16)</f>
        <v/>
      </c>
      <c r="D17" s="11">
        <f>SUM(D13:D16)</f>
        <v/>
      </c>
      <c r="E17" s="11">
        <f>SUM(E13:E16)</f>
        <v/>
      </c>
      <c r="F17" s="11">
        <f>SUM(F13:F16)</f>
        <v/>
      </c>
      <c r="G17" s="12">
        <f>IF(B17-F17=0,0,C17/(B17-F17))</f>
        <v/>
      </c>
    </row>
    <row r="18">
      <c r="A18" s="13" t="inlineStr">
        <is>
          <t>Hạng mục BẮT BUỘC chưa xong</t>
        </is>
      </c>
      <c r="B18" s="14">
        <f>COUNTIFS('1. Hạ tầng &amp; Phần cứng'!E5:E200,"Có",'1. Hạ tầng &amp; Phần cứng'!H5:H200,"&lt;&gt;Đã xong",'1. Hạ tầng &amp; Phần cứng'!H5:H200,"&lt;&gt;Không áp dụng",'1. Hạ tầng &amp; Phần cứng'!C5:C200,"&lt;&gt;")+COUNTIFS('2. Phần mềm &amp; Truy cập'!E5:E200,"Có",'2. Phần mềm &amp; Truy cập'!H5:H200,"&lt;&gt;Đã xong",'2. Phần mềm &amp; Truy cập'!H5:H200,"&lt;&gt;Không áp dụng",'2. Phần mềm &amp; Truy cập'!C5:C200,"&lt;&gt;")+COUNTIFS('3. Thiết lập hệ thống'!E5:E200,"Có",'3. Thiết lập hệ thống'!H5:H200,"&lt;&gt;Đã xong",'3. Thiết lập hệ thống'!H5:H200,"&lt;&gt;Không áp dụng",'3. Thiết lập hệ thống'!C5:C200,"&lt;&gt;")+COUNTIFS('5. Danh mục dữ liệu'!F5:F19,"Có",'5. Danh mục dữ liệu'!H5:H19,"&lt;&gt;Đã xong",'5. Danh mục dữ liệu'!H5:H19,"&lt;&gt;Không áp dụng")</f>
        <v/>
      </c>
      <c r="C18" s="15" t="inlineStr">
        <is>
          <t>Phải bằng 0 trước ngày đến hiện trường.</t>
        </is>
      </c>
    </row>
    <row r="20">
      <c r="A20" s="6" t="inlineStr">
        <is>
          <t>HƯỚNG DẪN SỬ DỤNG</t>
        </is>
      </c>
    </row>
    <row r="21" ht="28" customHeight="1">
      <c r="A21" s="16" t="inlineStr">
        <is>
          <t>Ô nền vàng</t>
        </is>
      </c>
      <c r="B21" s="17" t="inlineStr">
        <is>
          <t>Ô khách hàng điền. Các ô khác là nội dung mẫu, không cần sửa.</t>
        </is>
      </c>
      <c r="C21" s="4" t="n"/>
      <c r="D21" s="4" t="n"/>
      <c r="E21" s="4" t="n"/>
      <c r="F21" s="4" t="n"/>
      <c r="G21" s="4" t="n"/>
    </row>
    <row r="22" ht="28" customHeight="1">
      <c r="A22" s="18" t="inlineStr">
        <is>
          <t>Dòng nền xám</t>
        </is>
      </c>
      <c r="B22" s="17" t="inlineStr">
        <is>
          <t>Dòng ví dụ minh họa cách điền (sheet 4) — xóa hoặc ghi đè.</t>
        </is>
      </c>
      <c r="C22" s="4" t="n"/>
      <c r="D22" s="4" t="n"/>
      <c r="E22" s="4" t="n"/>
      <c r="F22" s="4" t="n"/>
      <c r="G22" s="4" t="n"/>
    </row>
    <row r="23" ht="28" customHeight="1">
      <c r="A23" s="8" t="inlineStr">
        <is>
          <t>Cột "Trạng thái"</t>
        </is>
      </c>
      <c r="B23" s="17" t="inlineStr">
        <is>
          <t>Chọn từ danh sách: Chưa chuẩn bị / Đang chuẩn bị / Đã xong / Không áp dụng. Bảng tiến độ phía trên tự cập nhật.</t>
        </is>
      </c>
      <c r="C23" s="4" t="n"/>
      <c r="D23" s="4" t="n"/>
      <c r="E23" s="4" t="n"/>
      <c r="F23" s="4" t="n"/>
      <c r="G23" s="4" t="n"/>
    </row>
    <row r="24" ht="28" customHeight="1">
      <c r="A24" s="8" t="inlineStr">
        <is>
          <t>Cột "Bắt buộc" = Có</t>
        </is>
      </c>
      <c r="B24" s="17" t="inlineStr">
        <is>
          <t>Phải hoàn tất trước ngày triển khai; nếu không thể, ghi lý do ở cột Ghi chú và báo đội triển khai.</t>
        </is>
      </c>
      <c r="C24" s="4" t="n"/>
      <c r="D24" s="4" t="n"/>
      <c r="E24" s="4" t="n"/>
      <c r="F24" s="4" t="n"/>
      <c r="G24" s="4" t="n"/>
    </row>
    <row r="25" ht="28" customHeight="1">
      <c r="A25" s="8" t="inlineStr">
        <is>
          <t>Dòng trống cuối mỗi sheet</t>
        </is>
      </c>
      <c r="B25" s="17" t="inlineStr">
        <is>
          <t>Thêm hạng mục riêng của khách hàng nếu có.</t>
        </is>
      </c>
      <c r="C25" s="4" t="n"/>
      <c r="D25" s="4" t="n"/>
      <c r="E25" s="4" t="n"/>
      <c r="F25" s="4" t="n"/>
      <c r="G25" s="4" t="n"/>
    </row>
    <row r="26" ht="28" customHeight="1">
      <c r="A26" s="8" t="inlineStr">
        <is>
          <t>Bảo mật</t>
        </is>
      </c>
      <c r="B26" s="17" t="inlineStr">
        <is>
          <t>KHÔNG ghi mật khẩu vào file này. Mật khẩu bàn giao trực tiếp khi cài đặt.</t>
        </is>
      </c>
      <c r="C26" s="4" t="n"/>
      <c r="D26" s="4" t="n"/>
      <c r="E26" s="4" t="n"/>
      <c r="F26" s="4" t="n"/>
      <c r="G26" s="4" t="n"/>
    </row>
    <row r="27" ht="28" customHeight="1">
      <c r="A27" s="8" t="inlineStr">
        <is>
          <t>Gửi lại file</t>
        </is>
      </c>
      <c r="B27" s="17" t="inlineStr">
        <is>
          <t>Gửi file đã điền cho đội triển khai ít nhất 5 ngày làm việc trước ngày đến hiện trường.</t>
        </is>
      </c>
      <c r="C27" s="4" t="n"/>
      <c r="D27" s="4" t="n"/>
      <c r="E27" s="4" t="n"/>
      <c r="F27" s="4" t="n"/>
      <c r="G27" s="4" t="n"/>
    </row>
  </sheetData>
  <mergeCells count="16">
    <mergeCell ref="B3:G3"/>
    <mergeCell ref="B24:G24"/>
    <mergeCell ref="A1:G1"/>
    <mergeCell ref="B5:G5"/>
    <mergeCell ref="B22:G22"/>
    <mergeCell ref="B23:G23"/>
    <mergeCell ref="B9:G9"/>
    <mergeCell ref="B27:G27"/>
    <mergeCell ref="B8:G8"/>
    <mergeCell ref="B4:G4"/>
    <mergeCell ref="B26:G26"/>
    <mergeCell ref="B21:G21"/>
    <mergeCell ref="C18:G18"/>
    <mergeCell ref="B7:G7"/>
    <mergeCell ref="B25:G25"/>
    <mergeCell ref="B6:G6"/>
  </mergeCells>
  <conditionalFormatting sqref="G13:G17">
    <cfRule type="dataBar" priority="1">
      <dataBar>
        <cfvo type="num" val="0"/>
        <cfvo type="num" val="1"/>
        <color rgb="005DADE2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HẠ TẦNG &amp; PHẦN CỨNG</t>
        </is>
      </c>
    </row>
    <row r="2" ht="30" customHeight="1">
      <c r="A2" s="20" t="inlineStr">
        <is>
          <t>Máy chủ, máy trạm, mạng và thiết bị ngoại vi phải sẵn sàng trước ngày đội triển khai đến hiện trường.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Máy chủ</t>
        </is>
      </c>
      <c r="C5" s="8" t="inlineStr">
        <is>
          <t>Máy chủ cài ứng dụng + CSDL</t>
        </is>
      </c>
      <c r="D5" s="17" t="inlineStr">
        <is>
          <t>Tối thiểu CPU 4 nhân, RAM 16 GB, ổ SSD 250 GB trống (khuyến nghị 8 nhân / 32 GB nếu &gt; 30 người dùng đồng thời). Máy chạy 24/7, dùng riêng cho S-ERP.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Máy chủ</t>
        </is>
      </c>
      <c r="C6" s="8" t="inlineStr">
        <is>
          <t>Hệ điều hành máy chủ</t>
        </is>
      </c>
      <c r="D6" s="17" t="inlineStr">
        <is>
          <t>Windows Server 2019/2022 (hoặc Windows 10/11 Pro 64-bit cho đơn vị nhỏ), đã cập nhật bản vá, có bản quyền.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Máy chủ</t>
        </is>
      </c>
      <c r="C7" s="8" t="inlineStr">
        <is>
          <t>Bộ lưu điện (UPS)</t>
        </is>
      </c>
      <c r="D7" s="17" t="inlineStr">
        <is>
          <t>UPS cho máy chủ, đủ thời gian tắt máy an toàn khi mất điện (≥ 15 phút).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Máy chủ</t>
        </is>
      </c>
      <c r="C8" s="8" t="inlineStr">
        <is>
          <t>Ổ / nơi lưu sao lưu</t>
        </is>
      </c>
      <c r="D8" s="17" t="inlineStr">
        <is>
          <t>Ổ cứng ngoài, NAS hoặc thư mục mạng tách khỏi ổ chứa CSDL; dung lượng ≥ 2 lần dữ liệu dự kiến.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Máy trạm</t>
        </is>
      </c>
      <c r="C9" s="8" t="inlineStr">
        <is>
          <t>Máy tính người dùng</t>
        </is>
      </c>
      <c r="D9" s="17" t="inlineStr">
        <is>
          <t>Windows 10/11 hoặc macOS, RAM ≥ 8 GB, màn hình ≥ 1366×768 (khuyến nghị Full HD). Ghi rõ số lượng máy ở cột Ghi chú.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Máy trạm</t>
        </is>
      </c>
      <c r="C10" s="8" t="inlineStr">
        <is>
          <t>Trình duyệt</t>
        </is>
      </c>
      <c r="D10" s="17" t="inlineStr">
        <is>
          <t>Google Chrome hoặc Microsoft Edge bản mới nhất trên mọi máy trạm.</t>
        </is>
      </c>
      <c r="E10" s="21" t="inlineStr">
        <is>
          <t>Có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Mạng</t>
        </is>
      </c>
      <c r="C11" s="8" t="inlineStr">
        <is>
          <t>Mạng nội bộ (LAN/Wi-Fi)</t>
        </is>
      </c>
      <c r="D11" s="17" t="inlineStr">
        <is>
          <t>Máy trạm kết nối được tới máy chủ; tốc độ LAN ≥ 100 Mbps.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Mạng</t>
        </is>
      </c>
      <c r="C12" s="8" t="inlineStr">
        <is>
          <t>IP tĩnh cho máy chủ</t>
        </is>
      </c>
      <c r="D12" s="17" t="inlineStr">
        <is>
          <t>Cấp IP tĩnh (hoặc đặt cố định trên DHCP) và tên máy chủ. Ghi IP vào cột Ghi chú.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Mạng</t>
        </is>
      </c>
      <c r="C13" s="8" t="inlineStr">
        <is>
          <t>Mở cổng tường lửa</t>
        </is>
      </c>
      <c r="D13" s="17" t="inlineStr">
        <is>
          <t>Cho phép máy trạm truy cập cổng 3000 (giao diện) và 2512 (API) trên máy chủ, hoặc 80/443 nếu dùng tên miền + HTTPS.</t>
        </is>
      </c>
      <c r="E13" s="21" t="inlineStr">
        <is>
          <t>Có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Mạng</t>
        </is>
      </c>
      <c r="C14" s="8" t="inlineStr">
        <is>
          <t>Truy cập từ xa / ngoài công ty</t>
        </is>
      </c>
      <c r="D14" s="17" t="inlineStr">
        <is>
          <t>Nếu cần dùng ngoài văn phòng: tên miền, chứng chỉ SSL, VPN hoặc NAT cổng. Ghi phương án đã chọn.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17" t="inlineStr">
        <is>
          <t>Mạng</t>
        </is>
      </c>
      <c r="C15" s="8" t="inlineStr">
        <is>
          <t>Kết nối Internet</t>
        </is>
      </c>
      <c r="D15" s="17" t="inlineStr">
        <is>
          <t>Máy chủ có Internet trong lúc cài đặt (tải bộ cài, cập nhật) và để dùng trợ lý AI (tùy chọn).</t>
        </is>
      </c>
      <c r="E15" s="21" t="inlineStr">
        <is>
          <t>Có</t>
        </is>
      </c>
      <c r="F15" s="3" t="n"/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17" t="inlineStr">
        <is>
          <t>Thiết bị</t>
        </is>
      </c>
      <c r="C16" s="8" t="inlineStr">
        <is>
          <t>Máy in</t>
        </is>
      </c>
      <c r="D16" s="17" t="inlineStr">
        <is>
          <t>Máy in phiếu (A4/A5) đã cài driver trên máy trạm in chứng từ; ghi model ở cột Ghi chú.</t>
        </is>
      </c>
      <c r="E16" s="9" t="inlineStr">
        <is>
          <t>Không</t>
        </is>
      </c>
      <c r="F16" s="3" t="n"/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17" t="inlineStr">
        <is>
          <t>Thiết bị</t>
        </is>
      </c>
      <c r="C17" s="8" t="inlineStr">
        <is>
          <t>Máy quét mã vạch / thiết bị khác</t>
        </is>
      </c>
      <c r="D17" s="17" t="inlineStr">
        <is>
          <t>Nếu dùng: liệt kê thiết bị, model, số lượng.</t>
        </is>
      </c>
      <c r="E17" s="9" t="inlineStr">
        <is>
          <t>Không</t>
        </is>
      </c>
      <c r="F17" s="3" t="n"/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17" t="inlineStr">
        <is>
          <t>Thiết bị</t>
        </is>
      </c>
      <c r="C18" s="8" t="inlineStr">
        <is>
          <t>Phòng đào tạo</t>
        </is>
      </c>
      <c r="D18" s="17" t="inlineStr">
        <is>
          <t>Phòng họp có máy chiếu/TV, ổ điện, Wi-Fi cho buổi đào tạo người dùng.</t>
        </is>
      </c>
      <c r="E18" s="21" t="inlineStr">
        <is>
          <t>Có</t>
        </is>
      </c>
      <c r="F18" s="3" t="n"/>
      <c r="G18" s="22" t="n"/>
      <c r="H18" s="23" t="inlineStr">
        <is>
          <t>Chưa chuẩn bị</t>
        </is>
      </c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  <row r="20">
      <c r="A20" s="9">
        <f>IF(C20="","",ROW()-4)</f>
        <v/>
      </c>
      <c r="B20" s="3" t="n"/>
      <c r="C20" s="3" t="n"/>
      <c r="D20" s="3" t="n"/>
      <c r="E20" s="23" t="n"/>
      <c r="F20" s="3" t="n"/>
      <c r="G20" s="22" t="n"/>
      <c r="H20" s="23" t="n"/>
      <c r="I20" s="3" t="n"/>
    </row>
    <row r="21">
      <c r="A21" s="9">
        <f>IF(C21="","",ROW()-4)</f>
        <v/>
      </c>
      <c r="B21" s="3" t="n"/>
      <c r="C21" s="3" t="n"/>
      <c r="D21" s="3" t="n"/>
      <c r="E21" s="23" t="n"/>
      <c r="F21" s="3" t="n"/>
      <c r="G21" s="22" t="n"/>
      <c r="H21" s="23" t="n"/>
      <c r="I21" s="3" t="n"/>
    </row>
    <row r="22">
      <c r="A22" s="9">
        <f>IF(C22="","",ROW()-4)</f>
        <v/>
      </c>
      <c r="B22" s="3" t="n"/>
      <c r="C22" s="3" t="n"/>
      <c r="D22" s="3" t="n"/>
      <c r="E22" s="23" t="n"/>
      <c r="F22" s="3" t="n"/>
      <c r="G22" s="22" t="n"/>
      <c r="H22" s="23" t="n"/>
      <c r="I22" s="3" t="n"/>
    </row>
    <row r="23">
      <c r="A23" s="9">
        <f>IF(C23="","",ROW()-4)</f>
        <v/>
      </c>
      <c r="B23" s="3" t="n"/>
      <c r="C23" s="3" t="n"/>
      <c r="D23" s="3" t="n"/>
      <c r="E23" s="23" t="n"/>
      <c r="F23" s="3" t="n"/>
      <c r="G23" s="22" t="n"/>
      <c r="H23" s="23" t="n"/>
      <c r="I23" s="3" t="n"/>
    </row>
  </sheetData>
  <autoFilter ref="A4:I23"/>
  <mergeCells count="2">
    <mergeCell ref="A1:I1"/>
    <mergeCell ref="A2:I2"/>
  </mergeCells>
  <conditionalFormatting sqref="H5:H23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dataValidations count="3">
    <dataValidation sqref="H5:H23" showDropDown="0" showInputMessage="0" showErrorMessage="0" allowBlank="1" type="list">
      <formula1>"Chưa chuẩn bị,Đang chuẩn bị,Đã xong,Không áp dụng"</formula1>
    </dataValidation>
    <dataValidation sqref="E5:E23" showDropDown="0" showInputMessage="0" showErrorMessage="0" allowBlank="1" type="list">
      <formula1>"Có,Không"</formula1>
    </dataValidation>
    <dataValidation sqref="G5:G23" showDropDown="0" showInputMessage="0" showErrorMessage="0" allowBlank="1" errorTitle="Ngày không hợp lệ" error="Nhập ngày dạng dd/mm/yyy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PHẦN MỀM &amp; TRUY CẬP</t>
        </is>
      </c>
    </row>
    <row r="2" ht="30" customHeight="1">
      <c r="A2" s="20" t="inlineStr">
        <is>
          <t>Quyền và phần mềm nền đội triển khai cần trên máy chủ. Mật khẩu KHÔNG ghi vào file này — bàn giao trực tiếp khi cài đặt.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Quyền truy cập</t>
        </is>
      </c>
      <c r="C5" s="8" t="inlineStr">
        <is>
          <t>Tài khoản quản trị máy chủ</t>
        </is>
      </c>
      <c r="D5" s="17" t="inlineStr">
        <is>
          <t>Tài khoản Administrator (hoặc thuộc nhóm Administrators) trên máy chủ để cài đặt dịch vụ. Bàn giao trực tiếp, không gửi qua email.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Quyền truy cập</t>
        </is>
      </c>
      <c r="C6" s="8" t="inlineStr">
        <is>
          <t>Truy cập từ xa để hỗ trợ</t>
        </is>
      </c>
      <c r="D6" s="17" t="inlineStr">
        <is>
          <t>Đồng ý cho phép dùng UltraViewer / TeamViewer / AnyDesk hoặc RDP qua VPN trong giai đoạn triển khai.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Phần mềm nền</t>
        </is>
      </c>
      <c r="C7" s="8" t="inlineStr">
        <is>
          <t>PostgreSQL 16</t>
        </is>
      </c>
      <c r="D7" s="17" t="inlineStr">
        <is>
          <t>Cài sẵn hoặc cho phép đội triển khai cài. Nếu khách hàng đã có máy chủ PostgreSQL: cung cấp địa chỉ, cổng và tài khoản tạo được CSDL.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Phần mềm nền</t>
        </is>
      </c>
      <c r="C8" s="8" t="inlineStr">
        <is>
          <t>.NET 10 (ASP.NET Core Hosting Bundle)</t>
        </is>
      </c>
      <c r="D8" s="17" t="inlineStr">
        <is>
          <t>Cho phép cài .NET 10 Runtime trên máy chủ (chạy API S-ERP dưới dạng Windows Service).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Phần mềm nền</t>
        </is>
      </c>
      <c r="C9" s="8" t="inlineStr">
        <is>
          <t>Node.js bản LTS</t>
        </is>
      </c>
      <c r="D9" s="17" t="inlineStr">
        <is>
          <t>Cho phép cài Node.js LTS trên máy chủ (chạy giao diện web S-ERP).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Phần mềm nền</t>
        </is>
      </c>
      <c r="C10" s="8" t="inlineStr">
        <is>
          <t>Phần mềm diệt virus</t>
        </is>
      </c>
      <c r="D10" s="17" t="inlineStr">
        <is>
          <t>Thêm thư mục cài S-ERP và thư mục dữ liệu PostgreSQL vào danh sách loại trừ nếu phần mềm diệt virus chặn.</t>
        </is>
      </c>
      <c r="E10" s="9" t="inlineStr">
        <is>
          <t>Không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Bảo mật</t>
        </is>
      </c>
      <c r="C11" s="8" t="inlineStr">
        <is>
          <t>Chính sách sao lưu</t>
        </is>
      </c>
      <c r="D11" s="17" t="inlineStr">
        <is>
          <t>Thống nhất tần suất (khuyến nghị hằng ngày), giờ chạy, số bản giữ lại và người kiểm tra bản sao lưu.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Bảo mật</t>
        </is>
      </c>
      <c r="C12" s="8" t="inlineStr">
        <is>
          <t>Người quản trị hệ thống phía KH</t>
        </is>
      </c>
      <c r="D12" s="17" t="inlineStr">
        <is>
          <t>Chỉ định 1 người IT nắm mật khẩu quản trị S-ERP (tài khoản admin) và quyền máy chủ.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Tích hợp</t>
        </is>
      </c>
      <c r="C13" s="8" t="inlineStr">
        <is>
          <t>Trợ lý AI (Gemini)</t>
        </is>
      </c>
      <c r="D13" s="17" t="inlineStr">
        <is>
          <t>Nếu dùng: khách hàng tạo và tự giữ API key của Google Gemini; đồng ý dữ liệu hỏi đáp được gửi tới Google.</t>
        </is>
      </c>
      <c r="E13" s="9" t="inlineStr">
        <is>
          <t>Không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Tích hợp</t>
        </is>
      </c>
      <c r="C14" s="8" t="inlineStr">
        <is>
          <t>Kết nối phần mềm khác</t>
        </is>
      </c>
      <c r="D14" s="17" t="inlineStr">
        <is>
          <t>Liệt kê phần mềm cần trao đổi dữ liệu (kế toán, hóa đơn điện tử, ngân hàng…) và đầu mối kỹ thuật.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>
        <f>IF(C15="","",ROW()-4)</f>
        <v/>
      </c>
      <c r="B15" s="3" t="n"/>
      <c r="C15" s="3" t="n"/>
      <c r="D15" s="3" t="n"/>
      <c r="E15" s="23" t="n"/>
      <c r="F15" s="3" t="n"/>
      <c r="G15" s="22" t="n"/>
      <c r="H15" s="23" t="n"/>
      <c r="I15" s="3" t="n"/>
    </row>
    <row r="16">
      <c r="A16" s="9">
        <f>IF(C16="","",ROW()-4)</f>
        <v/>
      </c>
      <c r="B16" s="3" t="n"/>
      <c r="C16" s="3" t="n"/>
      <c r="D16" s="3" t="n"/>
      <c r="E16" s="23" t="n"/>
      <c r="F16" s="3" t="n"/>
      <c r="G16" s="22" t="n"/>
      <c r="H16" s="23" t="n"/>
      <c r="I16" s="3" t="n"/>
    </row>
    <row r="17">
      <c r="A17" s="9">
        <f>IF(C17="","",ROW()-4)</f>
        <v/>
      </c>
      <c r="B17" s="3" t="n"/>
      <c r="C17" s="3" t="n"/>
      <c r="D17" s="3" t="n"/>
      <c r="E17" s="23" t="n"/>
      <c r="F17" s="3" t="n"/>
      <c r="G17" s="22" t="n"/>
      <c r="H17" s="23" t="n"/>
      <c r="I17" s="3" t="n"/>
    </row>
    <row r="18">
      <c r="A18" s="9">
        <f>IF(C18="","",ROW()-4)</f>
        <v/>
      </c>
      <c r="B18" s="3" t="n"/>
      <c r="C18" s="3" t="n"/>
      <c r="D18" s="3" t="n"/>
      <c r="E18" s="23" t="n"/>
      <c r="F18" s="3" t="n"/>
      <c r="G18" s="22" t="n"/>
      <c r="H18" s="23" t="n"/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</sheetData>
  <autoFilter ref="A4:I19"/>
  <mergeCells count="2">
    <mergeCell ref="A1:I1"/>
    <mergeCell ref="A2:I2"/>
  </mergeCells>
  <conditionalFormatting sqref="H5:H19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dataValidations count="3">
    <dataValidation sqref="H5:H19" showDropDown="0" showInputMessage="0" showErrorMessage="0" allowBlank="1" type="list">
      <formula1>"Chưa chuẩn bị,Đang chuẩn bị,Đã xong,Không áp dụng"</formula1>
    </dataValidation>
    <dataValidation sqref="E5:E19" showDropDown="0" showInputMessage="0" showErrorMessage="0" allowBlank="1" type="list">
      <formula1>"Có,Không"</formula1>
    </dataValidation>
    <dataValidation sqref="G5:G19" showDropDown="0" showInputMessage="0" showErrorMessage="0" allowBlank="1" errorTitle="Ngày không hợp lệ" error="Nhập ngày dạng dd/mm/yyy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THIẾT LẬP HỆ THỐNG</t>
        </is>
      </c>
    </row>
    <row r="2" ht="30" customHeight="1">
      <c r="A2" s="20" t="inlineStr">
        <is>
          <t>Thông tin dùng để cấu hình S-ERP (Cài đặt hệ thống). Điền chi tiết ở các sheet dữ liệu tương ứng nếu có.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Thông tin công ty</t>
        </is>
      </c>
      <c r="C5" s="8" t="inlineStr">
        <is>
          <t>Hồ sơ công ty</t>
        </is>
      </c>
      <c r="D5" s="17" t="inlineStr">
        <is>
          <t>Tên đầy đủ, tên viết tắt, mã số thuế, địa chỉ, điện thoại, email, website, người đại diện, logo (file PNG/JPG nền trong).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Thông tin công ty</t>
        </is>
      </c>
      <c r="C6" s="8" t="inlineStr">
        <is>
          <t>Đơn vị cơ sở (DVCS)</t>
        </is>
      </c>
      <c r="D6" s="17" t="inlineStr">
        <is>
          <t>Danh sách công ty con / chi nhánh hạch toán riêng: mã, tên, MST, địa chỉ. Điền sheet "5. Danh mục" (Đơn vị cơ sở).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Thông tin công ty</t>
        </is>
      </c>
      <c r="C7" s="8" t="inlineStr">
        <is>
          <t>Phòng ban</t>
        </is>
      </c>
      <c r="D7" s="17" t="inlineStr">
        <is>
          <t>Danh sách phòng ban theo từng đơn vị: mã, tên, trưởng phòng.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Kỳ kế toán</t>
        </is>
      </c>
      <c r="C8" s="8" t="inlineStr">
        <is>
          <t>Năm tài chính</t>
        </is>
      </c>
      <c r="D8" s="17" t="inlineStr">
        <is>
          <t>Ngày bắt đầu năm tài chính (thường 01/01).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Kỳ kế toán</t>
        </is>
      </c>
      <c r="C9" s="8" t="inlineStr">
        <is>
          <t>Ngày bắt đầu nhập liệu</t>
        </is>
      </c>
      <c r="D9" s="17" t="inlineStr">
        <is>
          <t>Ngày bắt đầu dùng S-ERP chính thức; chứng từ trước ngày này không nhập được.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Kỳ kế toán</t>
        </is>
      </c>
      <c r="C10" s="8" t="inlineStr">
        <is>
          <t>Khóa sổ</t>
        </is>
      </c>
      <c r="D10" s="17" t="inlineStr">
        <is>
          <t>Quy định khóa sổ theo tháng: ai được khóa / mở khóa, hạn khóa hằng tháng.</t>
        </is>
      </c>
      <c r="E10" s="9" t="inlineStr">
        <is>
          <t>Không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Tiền tệ</t>
        </is>
      </c>
      <c r="C11" s="8" t="inlineStr">
        <is>
          <t>Đồng tiền &amp; tỷ giá</t>
        </is>
      </c>
      <c r="D11" s="17" t="inlineStr">
        <is>
          <t>Đồng tiền hạch toán (mặc định VND), các ngoại tệ sử dụng, nguồn tỷ giá (ngân hàng nào) và tỷ giá đầu kỳ.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Chứng từ</t>
        </is>
      </c>
      <c r="C12" s="8" t="inlineStr">
        <is>
          <t>Quy tắc đánh số chứng từ</t>
        </is>
      </c>
      <c r="D12" s="17" t="inlineStr">
        <is>
          <t>Tiền tố và độ dài số cho từng loại phiếu (VD: PN-2026-00001 cho phiếu nhập), đánh lại số theo năm/tháng hay không.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Chứng từ</t>
        </is>
      </c>
      <c r="C13" s="8" t="inlineStr">
        <is>
          <t>Quy trình duyệt</t>
        </is>
      </c>
      <c r="D13" s="17" t="inlineStr">
        <is>
          <t>Loại phiếu nào cần duyệt, người duyệt theo phòng ban / giá trị, số cấp duyệt.</t>
        </is>
      </c>
      <c r="E13" s="9" t="inlineStr">
        <is>
          <t>Không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Chứng từ</t>
        </is>
      </c>
      <c r="C14" s="8" t="inlineStr">
        <is>
          <t>Mẫu in</t>
        </is>
      </c>
      <c r="D14" s="17" t="inlineStr">
        <is>
          <t>Mẫu phiếu in hiện dùng (file scan hoặc Word/Excel) cho phiếu nhập, phiếu xuất, đơn hàng…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17" t="inlineStr">
        <is>
          <t>Hiển thị</t>
        </is>
      </c>
      <c r="C15" s="8" t="inlineStr">
        <is>
          <t>Định dạng số</t>
        </is>
      </c>
      <c r="D15" s="17" t="inlineStr">
        <is>
          <t>Dấu phân cách hàng nghìn / thập phân, số chữ số lẻ cho số lượng, đơn giá, thành tiền.</t>
        </is>
      </c>
      <c r="E15" s="21" t="inlineStr">
        <is>
          <t>Có</t>
        </is>
      </c>
      <c r="F15" s="3" t="n"/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17" t="inlineStr">
        <is>
          <t>Hiển thị</t>
        </is>
      </c>
      <c r="C16" s="8" t="inlineStr">
        <is>
          <t>Ngôn ngữ</t>
        </is>
      </c>
      <c r="D16" s="17" t="inlineStr">
        <is>
          <t>Ngôn ngữ mặc định (Tiếng Việt / English) và người dùng cần ngôn ngữ khác.</t>
        </is>
      </c>
      <c r="E16" s="9" t="inlineStr">
        <is>
          <t>Không</t>
        </is>
      </c>
      <c r="F16" s="3" t="n"/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17" t="inlineStr">
        <is>
          <t>Phân quyền</t>
        </is>
      </c>
      <c r="C17" s="8" t="inlineStr">
        <is>
          <t>Danh sách vai trò</t>
        </is>
      </c>
      <c r="D17" s="17" t="inlineStr">
        <is>
          <t>Các vai trò cần (VD: Kế toán, Thủ kho, Bán hàng, Quản lý) và chức năng mỗi vai trò được xem / thêm / sửa / xóa / duyệt / in / xuất file.</t>
        </is>
      </c>
      <c r="E17" s="21" t="inlineStr">
        <is>
          <t>Có</t>
        </is>
      </c>
      <c r="F17" s="3" t="n"/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17" t="inlineStr">
        <is>
          <t>Phân quyền</t>
        </is>
      </c>
      <c r="C18" s="8" t="inlineStr">
        <is>
          <t>Danh sách người dùng</t>
        </is>
      </c>
      <c r="D18" s="17" t="inlineStr">
        <is>
          <t>Điền sheet "4. Người dùng".</t>
        </is>
      </c>
      <c r="E18" s="21" t="inlineStr">
        <is>
          <t>Có</t>
        </is>
      </c>
      <c r="F18" s="3" t="n"/>
      <c r="G18" s="22" t="n"/>
      <c r="H18" s="23" t="inlineStr">
        <is>
          <t>Chưa chuẩn bị</t>
        </is>
      </c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  <row r="20">
      <c r="A20" s="9">
        <f>IF(C20="","",ROW()-4)</f>
        <v/>
      </c>
      <c r="B20" s="3" t="n"/>
      <c r="C20" s="3" t="n"/>
      <c r="D20" s="3" t="n"/>
      <c r="E20" s="23" t="n"/>
      <c r="F20" s="3" t="n"/>
      <c r="G20" s="22" t="n"/>
      <c r="H20" s="23" t="n"/>
      <c r="I20" s="3" t="n"/>
    </row>
    <row r="21">
      <c r="A21" s="9">
        <f>IF(C21="","",ROW()-4)</f>
        <v/>
      </c>
      <c r="B21" s="3" t="n"/>
      <c r="C21" s="3" t="n"/>
      <c r="D21" s="3" t="n"/>
      <c r="E21" s="23" t="n"/>
      <c r="F21" s="3" t="n"/>
      <c r="G21" s="22" t="n"/>
      <c r="H21" s="23" t="n"/>
      <c r="I21" s="3" t="n"/>
    </row>
    <row r="22">
      <c r="A22" s="9">
        <f>IF(C22="","",ROW()-4)</f>
        <v/>
      </c>
      <c r="B22" s="3" t="n"/>
      <c r="C22" s="3" t="n"/>
      <c r="D22" s="3" t="n"/>
      <c r="E22" s="23" t="n"/>
      <c r="F22" s="3" t="n"/>
      <c r="G22" s="22" t="n"/>
      <c r="H22" s="23" t="n"/>
      <c r="I22" s="3" t="n"/>
    </row>
    <row r="23">
      <c r="A23" s="9">
        <f>IF(C23="","",ROW()-4)</f>
        <v/>
      </c>
      <c r="B23" s="3" t="n"/>
      <c r="C23" s="3" t="n"/>
      <c r="D23" s="3" t="n"/>
      <c r="E23" s="23" t="n"/>
      <c r="F23" s="3" t="n"/>
      <c r="G23" s="22" t="n"/>
      <c r="H23" s="23" t="n"/>
      <c r="I23" s="3" t="n"/>
    </row>
  </sheetData>
  <autoFilter ref="A4:I23"/>
  <mergeCells count="2">
    <mergeCell ref="A1:I1"/>
    <mergeCell ref="A2:I2"/>
  </mergeCells>
  <conditionalFormatting sqref="H5:H23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dataValidations count="3">
    <dataValidation sqref="H5:H23" showDropDown="0" showInputMessage="0" showErrorMessage="0" allowBlank="1" type="list">
      <formula1>"Chưa chuẩn bị,Đang chuẩn bị,Đã xong,Không áp dụng"</formula1>
    </dataValidation>
    <dataValidation sqref="E5:E23" showDropDown="0" showInputMessage="0" showErrorMessage="0" allowBlank="1" type="list">
      <formula1>"Có,Không"</formula1>
    </dataValidation>
    <dataValidation sqref="G5:G23" showDropDown="0" showInputMessage="0" showErrorMessage="0" allowBlank="1" errorTitle="Ngày không hợp lệ" error="Nhập ngày dạng dd/mm/yyy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28" customWidth="1" min="4" max="4"/>
    <col width="14" customWidth="1" min="5" max="5"/>
    <col width="16" customWidth="1" min="6" max="6"/>
    <col width="14" customWidth="1" min="7" max="7"/>
    <col width="18" customWidth="1" min="8" max="8"/>
    <col width="20" customWidth="1" min="9" max="9"/>
    <col width="12" customWidth="1" min="10" max="10"/>
    <col width="12" customWidth="1" min="11" max="11"/>
    <col width="28" customWidth="1" min="12" max="12"/>
  </cols>
  <sheetData>
    <row r="1">
      <c r="A1" s="19" t="inlineStr">
        <is>
          <t>DANH SÁCH NGƯỜI DÙNG</t>
        </is>
      </c>
    </row>
    <row r="2" ht="30" customHeight="1">
      <c r="A2" s="20" t="inlineStr">
        <is>
          <t>Mỗi dòng một người dùng. Dòng 5 (nền xám) là ví dụ — xóa hoặc ghi đè. Mật khẩu ban đầu do đội triển khai cấp, người dùng đổi khi đăng nhập lần đầu.</t>
        </is>
      </c>
    </row>
    <row r="4" ht="32" customHeight="1">
      <c r="A4" s="7" t="inlineStr">
        <is>
          <t>STT</t>
        </is>
      </c>
      <c r="B4" s="7" t="inlineStr">
        <is>
          <t>Tên đăng nhập</t>
        </is>
      </c>
      <c r="C4" s="7" t="inlineStr">
        <is>
          <t>Họ và tên</t>
        </is>
      </c>
      <c r="D4" s="7" t="inlineStr">
        <is>
          <t>Email</t>
        </is>
      </c>
      <c r="E4" s="7" t="inlineStr">
        <is>
          <t>Điện thoại</t>
        </is>
      </c>
      <c r="F4" s="7" t="inlineStr">
        <is>
          <t>Đơn vị cơ sở</t>
        </is>
      </c>
      <c r="G4" s="7" t="inlineStr">
        <is>
          <t>Mã phòng ban</t>
        </is>
      </c>
      <c r="H4" s="7" t="inlineStr">
        <is>
          <t>Chức vụ</t>
        </is>
      </c>
      <c r="I4" s="7" t="inlineStr">
        <is>
          <t>Vai trò (nhóm quyền)</t>
        </is>
      </c>
      <c r="J4" s="7" t="inlineStr">
        <is>
          <t>Ngôn ngữ</t>
        </is>
      </c>
      <c r="K4" s="7" t="inlineStr">
        <is>
          <t>Được duyệt phiếu</t>
        </is>
      </c>
      <c r="L4" s="7" t="inlineStr">
        <is>
          <t>Ghi chú</t>
        </is>
      </c>
    </row>
    <row r="5">
      <c r="A5" s="24" t="n">
        <v>1</v>
      </c>
      <c r="B5" s="25" t="inlineStr">
        <is>
          <t>nguyenvana</t>
        </is>
      </c>
      <c r="C5" s="25" t="inlineStr">
        <is>
          <t>Nguyễn Văn A</t>
        </is>
      </c>
      <c r="D5" s="25" t="inlineStr">
        <is>
          <t>a.nguyen@congty.vn</t>
        </is>
      </c>
      <c r="E5" s="25" t="inlineStr">
        <is>
          <t>0901234567</t>
        </is>
      </c>
      <c r="F5" s="25" t="inlineStr">
        <is>
          <t>HN</t>
        </is>
      </c>
      <c r="G5" s="25" t="inlineStr">
        <is>
          <t>KHO</t>
        </is>
      </c>
      <c r="H5" s="25" t="inlineStr">
        <is>
          <t>Thủ kho</t>
        </is>
      </c>
      <c r="I5" s="25" t="inlineStr">
        <is>
          <t>Thủ kho</t>
        </is>
      </c>
      <c r="J5" s="24" t="inlineStr">
        <is>
          <t>Tiếng Việt</t>
        </is>
      </c>
      <c r="K5" s="24" t="inlineStr">
        <is>
          <t>Không</t>
        </is>
      </c>
      <c r="L5" s="25" t="inlineStr">
        <is>
          <t>Ví dụ</t>
        </is>
      </c>
    </row>
    <row r="6">
      <c r="A6" s="9">
        <f>IF(B6="","",ROW()-4)</f>
        <v/>
      </c>
      <c r="B6" s="3" t="n"/>
      <c r="C6" s="3" t="n"/>
      <c r="D6" s="3" t="n"/>
      <c r="E6" s="3" t="n"/>
      <c r="F6" s="3" t="n"/>
      <c r="G6" s="3" t="n"/>
      <c r="H6" s="3" t="n"/>
      <c r="I6" s="3" t="n"/>
      <c r="J6" s="23" t="n"/>
      <c r="K6" s="23" t="n"/>
      <c r="L6" s="3" t="n"/>
    </row>
    <row r="7">
      <c r="A7" s="9">
        <f>IF(B7="","",ROW()-4)</f>
        <v/>
      </c>
      <c r="B7" s="3" t="n"/>
      <c r="C7" s="3" t="n"/>
      <c r="D7" s="3" t="n"/>
      <c r="E7" s="3" t="n"/>
      <c r="F7" s="3" t="n"/>
      <c r="G7" s="3" t="n"/>
      <c r="H7" s="3" t="n"/>
      <c r="I7" s="3" t="n"/>
      <c r="J7" s="23" t="n"/>
      <c r="K7" s="23" t="n"/>
      <c r="L7" s="3" t="n"/>
    </row>
    <row r="8">
      <c r="A8" s="9">
        <f>IF(B8="","",ROW()-4)</f>
        <v/>
      </c>
      <c r="B8" s="3" t="n"/>
      <c r="C8" s="3" t="n"/>
      <c r="D8" s="3" t="n"/>
      <c r="E8" s="3" t="n"/>
      <c r="F8" s="3" t="n"/>
      <c r="G8" s="3" t="n"/>
      <c r="H8" s="3" t="n"/>
      <c r="I8" s="3" t="n"/>
      <c r="J8" s="23" t="n"/>
      <c r="K8" s="23" t="n"/>
      <c r="L8" s="3" t="n"/>
    </row>
    <row r="9">
      <c r="A9" s="9">
        <f>IF(B9="","",ROW()-4)</f>
        <v/>
      </c>
      <c r="B9" s="3" t="n"/>
      <c r="C9" s="3" t="n"/>
      <c r="D9" s="3" t="n"/>
      <c r="E9" s="3" t="n"/>
      <c r="F9" s="3" t="n"/>
      <c r="G9" s="3" t="n"/>
      <c r="H9" s="3" t="n"/>
      <c r="I9" s="3" t="n"/>
      <c r="J9" s="23" t="n"/>
      <c r="K9" s="23" t="n"/>
      <c r="L9" s="3" t="n"/>
    </row>
    <row r="10">
      <c r="A10" s="9">
        <f>IF(B10="","",ROW()-4)</f>
        <v/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23" t="n"/>
      <c r="K10" s="23" t="n"/>
      <c r="L10" s="3" t="n"/>
    </row>
    <row r="11">
      <c r="A11" s="9">
        <f>IF(B11="","",ROW()-4)</f>
        <v/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23" t="n"/>
      <c r="K11" s="23" t="n"/>
      <c r="L11" s="3" t="n"/>
    </row>
    <row r="12">
      <c r="A12" s="9">
        <f>IF(B12="","",ROW()-4)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23" t="n"/>
      <c r="K12" s="23" t="n"/>
      <c r="L12" s="3" t="n"/>
    </row>
    <row r="13">
      <c r="A13" s="9">
        <f>IF(B13="","",ROW()-4)</f>
        <v/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23" t="n"/>
      <c r="K13" s="23" t="n"/>
      <c r="L13" s="3" t="n"/>
    </row>
    <row r="14">
      <c r="A14" s="9">
        <f>IF(B14="","",ROW()-4)</f>
        <v/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23" t="n"/>
      <c r="K14" s="23" t="n"/>
      <c r="L14" s="3" t="n"/>
    </row>
    <row r="15">
      <c r="A15" s="9">
        <f>IF(B15="","",ROW()-4)</f>
        <v/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23" t="n"/>
      <c r="K15" s="23" t="n"/>
      <c r="L15" s="3" t="n"/>
    </row>
    <row r="16">
      <c r="A16" s="9">
        <f>IF(B16="","",ROW()-4)</f>
        <v/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23" t="n"/>
      <c r="K16" s="23" t="n"/>
      <c r="L16" s="3" t="n"/>
    </row>
    <row r="17">
      <c r="A17" s="9">
        <f>IF(B17="","",ROW()-4)</f>
        <v/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23" t="n"/>
      <c r="K17" s="23" t="n"/>
      <c r="L17" s="3" t="n"/>
    </row>
    <row r="18">
      <c r="A18" s="9">
        <f>IF(B18="","",ROW()-4)</f>
        <v/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23" t="n"/>
      <c r="K18" s="23" t="n"/>
      <c r="L18" s="3" t="n"/>
    </row>
    <row r="19">
      <c r="A19" s="9">
        <f>IF(B19="","",ROW()-4)</f>
        <v/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23" t="n"/>
      <c r="K19" s="23" t="n"/>
      <c r="L19" s="3" t="n"/>
    </row>
    <row r="20">
      <c r="A20" s="9">
        <f>IF(B20="","",ROW()-4)</f>
        <v/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23" t="n"/>
      <c r="K20" s="23" t="n"/>
      <c r="L20" s="3" t="n"/>
    </row>
    <row r="21">
      <c r="A21" s="9">
        <f>IF(B21="","",ROW()-4)</f>
        <v/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23" t="n"/>
      <c r="K21" s="23" t="n"/>
      <c r="L21" s="3" t="n"/>
    </row>
    <row r="22">
      <c r="A22" s="9">
        <f>IF(B22="","",ROW()-4)</f>
        <v/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23" t="n"/>
      <c r="K22" s="23" t="n"/>
      <c r="L22" s="3" t="n"/>
    </row>
    <row r="23">
      <c r="A23" s="9">
        <f>IF(B23="","",ROW()-4)</f>
        <v/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23" t="n"/>
      <c r="K23" s="23" t="n"/>
      <c r="L23" s="3" t="n"/>
    </row>
    <row r="24">
      <c r="A24" s="9">
        <f>IF(B24="","",ROW()-4)</f>
        <v/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23" t="n"/>
      <c r="K24" s="23" t="n"/>
      <c r="L24" s="3" t="n"/>
    </row>
    <row r="25">
      <c r="A25" s="9">
        <f>IF(B25="","",ROW()-4)</f>
        <v/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23" t="n"/>
      <c r="K25" s="23" t="n"/>
      <c r="L25" s="3" t="n"/>
    </row>
    <row r="26">
      <c r="A26" s="9">
        <f>IF(B26="","",ROW()-4)</f>
        <v/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23" t="n"/>
      <c r="K26" s="23" t="n"/>
      <c r="L26" s="3" t="n"/>
    </row>
    <row r="27">
      <c r="A27" s="9">
        <f>IF(B27="","",ROW()-4)</f>
        <v/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23" t="n"/>
      <c r="K27" s="23" t="n"/>
      <c r="L27" s="3" t="n"/>
    </row>
    <row r="28">
      <c r="A28" s="9">
        <f>IF(B28="","",ROW()-4)</f>
        <v/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23" t="n"/>
      <c r="K28" s="23" t="n"/>
      <c r="L28" s="3" t="n"/>
    </row>
    <row r="29">
      <c r="A29" s="9">
        <f>IF(B29="","",ROW()-4)</f>
        <v/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23" t="n"/>
      <c r="K29" s="23" t="n"/>
      <c r="L29" s="3" t="n"/>
    </row>
    <row r="30">
      <c r="A30" s="9">
        <f>IF(B30="","",ROW()-4)</f>
        <v/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23" t="n"/>
      <c r="K30" s="23" t="n"/>
      <c r="L30" s="3" t="n"/>
    </row>
    <row r="31">
      <c r="A31" s="9">
        <f>IF(B31="","",ROW()-4)</f>
        <v/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23" t="n"/>
      <c r="K31" s="23" t="n"/>
      <c r="L31" s="3" t="n"/>
    </row>
    <row r="32">
      <c r="A32" s="9">
        <f>IF(B32="","",ROW()-4)</f>
        <v/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23" t="n"/>
      <c r="K32" s="23" t="n"/>
      <c r="L32" s="3" t="n"/>
    </row>
    <row r="33">
      <c r="A33" s="9">
        <f>IF(B33="","",ROW()-4)</f>
        <v/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23" t="n"/>
      <c r="K33" s="23" t="n"/>
      <c r="L33" s="3" t="n"/>
    </row>
    <row r="34">
      <c r="A34" s="9">
        <f>IF(B34="","",ROW()-4)</f>
        <v/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23" t="n"/>
      <c r="K34" s="23" t="n"/>
      <c r="L34" s="3" t="n"/>
    </row>
    <row r="35">
      <c r="A35" s="9">
        <f>IF(B35="","",ROW()-4)</f>
        <v/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23" t="n"/>
      <c r="K35" s="23" t="n"/>
      <c r="L35" s="3" t="n"/>
    </row>
    <row r="36">
      <c r="A36" s="9">
        <f>IF(B36="","",ROW()-4)</f>
        <v/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23" t="n"/>
      <c r="K36" s="23" t="n"/>
      <c r="L36" s="3" t="n"/>
    </row>
    <row r="37">
      <c r="A37" s="9">
        <f>IF(B37="","",ROW()-4)</f>
        <v/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23" t="n"/>
      <c r="K37" s="23" t="n"/>
      <c r="L37" s="3" t="n"/>
    </row>
    <row r="38">
      <c r="A38" s="9">
        <f>IF(B38="","",ROW()-4)</f>
        <v/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23" t="n"/>
      <c r="K38" s="23" t="n"/>
      <c r="L38" s="3" t="n"/>
    </row>
    <row r="39">
      <c r="A39" s="9">
        <f>IF(B39="","",ROW()-4)</f>
        <v/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23" t="n"/>
      <c r="K39" s="23" t="n"/>
      <c r="L39" s="3" t="n"/>
    </row>
    <row r="40">
      <c r="A40" s="9">
        <f>IF(B40="","",ROW()-4)</f>
        <v/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23" t="n"/>
      <c r="K40" s="23" t="n"/>
      <c r="L40" s="3" t="n"/>
    </row>
    <row r="41">
      <c r="A41" s="9">
        <f>IF(B41="","",ROW()-4)</f>
        <v/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23" t="n"/>
      <c r="K41" s="23" t="n"/>
      <c r="L41" s="3" t="n"/>
    </row>
    <row r="42">
      <c r="A42" s="9">
        <f>IF(B42="","",ROW()-4)</f>
        <v/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23" t="n"/>
      <c r="K42" s="23" t="n"/>
      <c r="L42" s="3" t="n"/>
    </row>
    <row r="43">
      <c r="A43" s="9">
        <f>IF(B43="","",ROW()-4)</f>
        <v/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23" t="n"/>
      <c r="K43" s="23" t="n"/>
      <c r="L43" s="3" t="n"/>
    </row>
    <row r="44">
      <c r="A44" s="9">
        <f>IF(B44="","",ROW()-4)</f>
        <v/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23" t="n"/>
      <c r="K44" s="23" t="n"/>
      <c r="L44" s="3" t="n"/>
    </row>
    <row r="45">
      <c r="A45" s="9">
        <f>IF(B45="","",ROW()-4)</f>
        <v/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23" t="n"/>
      <c r="K45" s="23" t="n"/>
      <c r="L45" s="3" t="n"/>
    </row>
    <row r="46">
      <c r="A46" s="9">
        <f>IF(B46="","",ROW()-4)</f>
        <v/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23" t="n"/>
      <c r="K46" s="23" t="n"/>
      <c r="L46" s="3" t="n"/>
    </row>
    <row r="47">
      <c r="A47" s="9">
        <f>IF(B47="","",ROW()-4)</f>
        <v/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23" t="n"/>
      <c r="K47" s="23" t="n"/>
      <c r="L47" s="3" t="n"/>
    </row>
    <row r="48">
      <c r="A48" s="9">
        <f>IF(B48="","",ROW()-4)</f>
        <v/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23" t="n"/>
      <c r="K48" s="23" t="n"/>
      <c r="L48" s="3" t="n"/>
    </row>
    <row r="49">
      <c r="A49" s="9">
        <f>IF(B49="","",ROW()-4)</f>
        <v/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23" t="n"/>
      <c r="K49" s="23" t="n"/>
      <c r="L49" s="3" t="n"/>
    </row>
    <row r="50">
      <c r="A50" s="9">
        <f>IF(B50="","",ROW()-4)</f>
        <v/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23" t="n"/>
      <c r="K50" s="23" t="n"/>
      <c r="L50" s="3" t="n"/>
    </row>
    <row r="51">
      <c r="A51" s="9">
        <f>IF(B51="","",ROW()-4)</f>
        <v/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23" t="n"/>
      <c r="K51" s="23" t="n"/>
      <c r="L51" s="3" t="n"/>
    </row>
    <row r="52">
      <c r="A52" s="9">
        <f>IF(B52="","",ROW()-4)</f>
        <v/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23" t="n"/>
      <c r="K52" s="23" t="n"/>
      <c r="L52" s="3" t="n"/>
    </row>
    <row r="53">
      <c r="A53" s="9">
        <f>IF(B53="","",ROW()-4)</f>
        <v/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23" t="n"/>
      <c r="K53" s="23" t="n"/>
      <c r="L53" s="3" t="n"/>
    </row>
    <row r="54">
      <c r="A54" s="9">
        <f>IF(B54="","",ROW()-4)</f>
        <v/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23" t="n"/>
      <c r="K54" s="23" t="n"/>
      <c r="L54" s="3" t="n"/>
    </row>
    <row r="55">
      <c r="A55" s="9">
        <f>IF(B55="","",ROW()-4)</f>
        <v/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23" t="n"/>
      <c r="K55" s="23" t="n"/>
      <c r="L55" s="3" t="n"/>
    </row>
  </sheetData>
  <autoFilter ref="A4:L55"/>
  <mergeCells count="2">
    <mergeCell ref="A2:L2"/>
    <mergeCell ref="A1:L1"/>
  </mergeCells>
  <dataValidations count="2">
    <dataValidation sqref="J5:J55" showDropDown="0" showInputMessage="0" showErrorMessage="0" allowBlank="1" type="list">
      <formula1>"Tiếng Việt,English"</formula1>
    </dataValidation>
    <dataValidation sqref="K5:K55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12" customWidth="1" min="4" max="4"/>
    <col width="20" customWidth="1" min="5" max="5"/>
    <col width="10" customWidth="1" min="6" max="6"/>
    <col width="14" customWidth="1" min="7" max="7"/>
    <col width="16" customWidth="1" min="8" max="8"/>
    <col width="30" customWidth="1" min="9" max="9"/>
  </cols>
  <sheetData>
    <row r="1">
      <c r="A1" s="19" t="inlineStr">
        <is>
          <t>DANH MỤC DỮ LIỆU BAN ĐẦU</t>
        </is>
      </c>
    </row>
    <row r="2" ht="30" customHeight="1">
      <c r="A2" s="20" t="inlineStr">
        <is>
          <t>Dữ liệu khách hàng gửi trước để nhập sẵn vào hệ thống. Ưu tiên file Excel, mỗi danh mục một sheet, dòng đầu là tiêu đề cột.</t>
        </is>
      </c>
    </row>
    <row r="4" ht="32" customHeight="1">
      <c r="A4" s="7" t="inlineStr">
        <is>
          <t>STT</t>
        </is>
      </c>
      <c r="B4" s="7" t="inlineStr">
        <is>
          <t>Danh mục</t>
        </is>
      </c>
      <c r="C4" s="7" t="inlineStr">
        <is>
          <t>Các cột thông tin cần có</t>
        </is>
      </c>
      <c r="D4" s="7" t="inlineStr">
        <is>
          <t>Số lượng dự kiến</t>
        </is>
      </c>
      <c r="E4" s="7" t="inlineStr">
        <is>
          <t>Định dạng file KH cung cấp</t>
        </is>
      </c>
      <c r="F4" s="7" t="inlineStr">
        <is>
          <t>Bắt buộc</t>
        </is>
      </c>
      <c r="G4" s="7" t="inlineStr">
        <is>
          <t>Hạn gửi</t>
        </is>
      </c>
      <c r="H4" s="7" t="inlineStr">
        <is>
          <t>Trạng thái</t>
        </is>
      </c>
      <c r="I4" s="7" t="inlineStr">
        <is>
          <t>Ghi chú</t>
        </is>
      </c>
    </row>
    <row r="5">
      <c r="A5" s="9" t="n">
        <v>1</v>
      </c>
      <c r="B5" s="8" t="inlineStr">
        <is>
          <t>Đơn vị cơ sở (DVCS)</t>
        </is>
      </c>
      <c r="C5" s="17" t="inlineStr">
        <is>
          <t>Mã, tên, MST, địa chỉ, điện thoại, đơn vị cha (nếu có).</t>
        </is>
      </c>
      <c r="D5" s="26" t="n"/>
      <c r="E5" s="23" t="inlineStr">
        <is>
          <t>Excel</t>
        </is>
      </c>
      <c r="F5" s="21" t="inlineStr">
        <is>
          <t>Có</t>
        </is>
      </c>
      <c r="G5" s="22" t="n"/>
      <c r="H5" s="23" t="inlineStr">
        <is>
          <t>Chưa chuẩn bị</t>
        </is>
      </c>
      <c r="I5" s="3" t="n"/>
    </row>
    <row r="6">
      <c r="A6" s="9" t="n">
        <v>2</v>
      </c>
      <c r="B6" s="8" t="inlineStr">
        <is>
          <t>Phòng ban</t>
        </is>
      </c>
      <c r="C6" s="17" t="inlineStr">
        <is>
          <t>Mã, tên, thuộc DVCS, trưởng phòng.</t>
        </is>
      </c>
      <c r="D6" s="26" t="n"/>
      <c r="E6" s="23" t="inlineStr">
        <is>
          <t>Excel</t>
        </is>
      </c>
      <c r="F6" s="21" t="inlineStr">
        <is>
          <t>Có</t>
        </is>
      </c>
      <c r="G6" s="22" t="n"/>
      <c r="H6" s="23" t="inlineStr">
        <is>
          <t>Chưa chuẩn bị</t>
        </is>
      </c>
      <c r="I6" s="3" t="n"/>
    </row>
    <row r="7">
      <c r="A7" s="9" t="n">
        <v>3</v>
      </c>
      <c r="B7" s="8" t="inlineStr">
        <is>
          <t>Đơn vị tính</t>
        </is>
      </c>
      <c r="C7" s="17" t="inlineStr">
        <is>
          <t>Mã, tên (cái, hộp, kg, thùng…).</t>
        </is>
      </c>
      <c r="D7" s="26" t="n"/>
      <c r="E7" s="23" t="inlineStr">
        <is>
          <t>Excel</t>
        </is>
      </c>
      <c r="F7" s="21" t="inlineStr">
        <is>
          <t>Có</t>
        </is>
      </c>
      <c r="G7" s="22" t="n"/>
      <c r="H7" s="23" t="inlineStr">
        <is>
          <t>Chưa chuẩn bị</t>
        </is>
      </c>
      <c r="I7" s="3" t="n"/>
    </row>
    <row r="8">
      <c r="A8" s="9" t="n">
        <v>4</v>
      </c>
      <c r="B8" s="8" t="inlineStr">
        <is>
          <t>Quy đổi đơn vị tính</t>
        </is>
      </c>
      <c r="C8" s="17" t="inlineStr">
        <is>
          <t>Vật tư, đơn vị gốc, đơn vị quy đổi, hệ số (VD: 1 thùng = 24 hộp).</t>
        </is>
      </c>
      <c r="D8" s="26" t="n"/>
      <c r="E8" s="23" t="inlineStr">
        <is>
          <t>Excel</t>
        </is>
      </c>
      <c r="F8" s="9" t="inlineStr">
        <is>
          <t>Không</t>
        </is>
      </c>
      <c r="G8" s="22" t="n"/>
      <c r="H8" s="23" t="inlineStr">
        <is>
          <t>Chưa chuẩn bị</t>
        </is>
      </c>
      <c r="I8" s="3" t="n"/>
    </row>
    <row r="9">
      <c r="A9" s="9" t="n">
        <v>5</v>
      </c>
      <c r="B9" s="8" t="inlineStr">
        <is>
          <t>Loại / nhóm vật tư</t>
        </is>
      </c>
      <c r="C9" s="17" t="inlineStr">
        <is>
          <t>Mã, tên, nhóm cha.</t>
        </is>
      </c>
      <c r="D9" s="26" t="n"/>
      <c r="E9" s="23" t="inlineStr">
        <is>
          <t>Excel</t>
        </is>
      </c>
      <c r="F9" s="21" t="inlineStr">
        <is>
          <t>Có</t>
        </is>
      </c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8" t="inlineStr">
        <is>
          <t>Vật tư, hàng hóa</t>
        </is>
      </c>
      <c r="C10" s="17" t="inlineStr">
        <is>
          <t>Mã, tên, quy cách, đơn vị tính, nhóm, mã vạch, theo dõi lô/hạn dùng (Có/Không), giá mua/bán tham khảo.</t>
        </is>
      </c>
      <c r="D10" s="26" t="n"/>
      <c r="E10" s="23" t="inlineStr">
        <is>
          <t>Excel</t>
        </is>
      </c>
      <c r="F10" s="21" t="inlineStr">
        <is>
          <t>Có</t>
        </is>
      </c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8" t="inlineStr">
        <is>
          <t>Kho</t>
        </is>
      </c>
      <c r="C11" s="17" t="inlineStr">
        <is>
          <t>Mã, tên, địa chỉ, thủ kho, thuộc DVCS.</t>
        </is>
      </c>
      <c r="D11" s="26" t="n"/>
      <c r="E11" s="23" t="inlineStr">
        <is>
          <t>Excel</t>
        </is>
      </c>
      <c r="F11" s="21" t="inlineStr">
        <is>
          <t>Có</t>
        </is>
      </c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8" t="inlineStr">
        <is>
          <t>Vị trí trong kho</t>
        </is>
      </c>
      <c r="C12" s="17" t="inlineStr">
        <is>
          <t>Kho, mã vị trí (khu/kệ/tầng/ô), mô tả.</t>
        </is>
      </c>
      <c r="D12" s="26" t="n"/>
      <c r="E12" s="23" t="inlineStr">
        <is>
          <t>Excel</t>
        </is>
      </c>
      <c r="F12" s="9" t="inlineStr">
        <is>
          <t>Không</t>
        </is>
      </c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8" t="inlineStr">
        <is>
          <t>Định mức tồn kho</t>
        </is>
      </c>
      <c r="C13" s="17" t="inlineStr">
        <is>
          <t>Vật tư, kho, tồn tối thiểu, tồn tối đa.</t>
        </is>
      </c>
      <c r="D13" s="26" t="n"/>
      <c r="E13" s="23" t="inlineStr">
        <is>
          <t>Excel</t>
        </is>
      </c>
      <c r="F13" s="9" t="inlineStr">
        <is>
          <t>Không</t>
        </is>
      </c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8" t="inlineStr">
        <is>
          <t>Khách hàng</t>
        </is>
      </c>
      <c r="C14" s="17" t="inlineStr">
        <is>
          <t>Mã, tên, MST, địa chỉ, người liên hệ, điện thoại, email, hạn mức / hạn thanh toán.</t>
        </is>
      </c>
      <c r="D14" s="26" t="n"/>
      <c r="E14" s="23" t="inlineStr">
        <is>
          <t>Excel</t>
        </is>
      </c>
      <c r="F14" s="21" t="inlineStr">
        <is>
          <t>Có</t>
        </is>
      </c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8" t="inlineStr">
        <is>
          <t>Nhà cung cấp</t>
        </is>
      </c>
      <c r="C15" s="17" t="inlineStr">
        <is>
          <t>Mã, tên, MST, địa chỉ, người liên hệ, điện thoại, email, điều khoản thanh toán.</t>
        </is>
      </c>
      <c r="D15" s="26" t="n"/>
      <c r="E15" s="23" t="inlineStr">
        <is>
          <t>Excel</t>
        </is>
      </c>
      <c r="F15" s="21" t="inlineStr">
        <is>
          <t>Có</t>
        </is>
      </c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8" t="inlineStr">
        <is>
          <t>Nhân viên</t>
        </is>
      </c>
      <c r="C16" s="17" t="inlineStr">
        <is>
          <t>Mã, họ tên, phòng ban, chức vụ, ngày vào làm, điện thoại, email.</t>
        </is>
      </c>
      <c r="D16" s="26" t="n"/>
      <c r="E16" s="23" t="inlineStr">
        <is>
          <t>Excel</t>
        </is>
      </c>
      <c r="F16" s="9" t="inlineStr">
        <is>
          <t>Không</t>
        </is>
      </c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8" t="inlineStr">
        <is>
          <t>Tồn kho đầu kỳ</t>
        </is>
      </c>
      <c r="C17" s="17" t="inlineStr">
        <is>
          <t>Tại ngày bắt đầu nhập liệu: kho, vật tư, lô/hạn dùng (nếu có), số lượng, đơn giá, thành tiền.</t>
        </is>
      </c>
      <c r="D17" s="26" t="n"/>
      <c r="E17" s="23" t="inlineStr">
        <is>
          <t>Excel</t>
        </is>
      </c>
      <c r="F17" s="21" t="inlineStr">
        <is>
          <t>Có</t>
        </is>
      </c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8" t="inlineStr">
        <is>
          <t>Công nợ đầu kỳ</t>
        </is>
      </c>
      <c r="C18" s="17" t="inlineStr">
        <is>
          <t>Khách hàng / nhà cung cấp, số dư nợ, số dư có, chi tiết theo hóa đơn (nếu theo dõi).</t>
        </is>
      </c>
      <c r="D18" s="26" t="n"/>
      <c r="E18" s="23" t="inlineStr">
        <is>
          <t>Excel</t>
        </is>
      </c>
      <c r="F18" s="9" t="inlineStr">
        <is>
          <t>Không</t>
        </is>
      </c>
      <c r="G18" s="22" t="n"/>
      <c r="H18" s="23" t="inlineStr">
        <is>
          <t>Chưa chuẩn bị</t>
        </is>
      </c>
      <c r="I18" s="3" t="n"/>
    </row>
    <row r="19">
      <c r="A19" s="9" t="n">
        <v>15</v>
      </c>
      <c r="B19" s="8" t="inlineStr">
        <is>
          <t>Số dư tài khoản đầu kỳ</t>
        </is>
      </c>
      <c r="C19" s="17" t="inlineStr">
        <is>
          <t>Tài khoản, dư nợ, dư có tại ngày bắt đầu nhập liệu (nếu dùng phân hệ tài chính).</t>
        </is>
      </c>
      <c r="D19" s="26" t="n"/>
      <c r="E19" s="23" t="inlineStr">
        <is>
          <t>Excel</t>
        </is>
      </c>
      <c r="F19" s="9" t="inlineStr">
        <is>
          <t>Không</t>
        </is>
      </c>
      <c r="G19" s="22" t="n"/>
      <c r="H19" s="23" t="inlineStr">
        <is>
          <t>Chưa chuẩn bị</t>
        </is>
      </c>
      <c r="I19" s="3" t="n"/>
    </row>
  </sheetData>
  <autoFilter ref="A4:I19"/>
  <mergeCells count="2">
    <mergeCell ref="A1:I1"/>
    <mergeCell ref="A2:I2"/>
  </mergeCells>
  <conditionalFormatting sqref="H5:H19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dataValidations count="2">
    <dataValidation sqref="H5:H19" showDropDown="0" showInputMessage="0" showErrorMessage="0" allowBlank="1" type="list">
      <formula1>"Chưa chuẩn bị,Đang chuẩn bị,Đã xong,Không áp dụng"</formula1>
    </dataValidation>
    <dataValidation sqref="E5:E19" showDropDown="0" showInputMessage="0" showErrorMessage="0" allowBlank="1" type="list">
      <formula1>"Excel,CSV,Xuất từ phần mềm cũ,Khác"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15" customWidth="1" min="4" max="4"/>
    <col width="28" customWidth="1" min="5" max="5"/>
    <col width="30" customWidth="1" min="6" max="6"/>
  </cols>
  <sheetData>
    <row r="1">
      <c r="A1" s="19" t="inlineStr">
        <is>
          <t>ĐẦU MỐI VÀ LỊCH TRIỂN KHAI</t>
        </is>
      </c>
    </row>
    <row r="2" ht="30" customHeight="1">
      <c r="A2" s="20" t="inlineStr">
        <is>
          <t>Danh sách người phía khách hàng tham gia và lịch làm việc tại hiện trường.</t>
        </is>
      </c>
    </row>
    <row r="4" ht="32" customHeight="1">
      <c r="A4" s="7" t="inlineStr">
        <is>
          <t>Vai trò trong dự án</t>
        </is>
      </c>
      <c r="B4" s="7" t="inlineStr">
        <is>
          <t>Họ và tên</t>
        </is>
      </c>
      <c r="C4" s="7" t="inlineStr">
        <is>
          <t>Chức vụ / phòng ban</t>
        </is>
      </c>
      <c r="D4" s="7" t="inlineStr">
        <is>
          <t>Điện thoại</t>
        </is>
      </c>
      <c r="E4" s="7" t="inlineStr">
        <is>
          <t>Email</t>
        </is>
      </c>
      <c r="F4" s="7" t="inlineStr">
        <is>
          <t>Ghi chú</t>
        </is>
      </c>
    </row>
    <row r="5">
      <c r="A5" s="8" t="inlineStr">
        <is>
          <t>Trưởng dự án phía KH (người quyết định)</t>
        </is>
      </c>
      <c r="B5" s="3" t="n"/>
      <c r="C5" s="3" t="n"/>
      <c r="D5" s="3" t="n"/>
      <c r="E5" s="3" t="n"/>
      <c r="F5" s="3" t="n"/>
    </row>
    <row r="6">
      <c r="A6" s="8" t="inlineStr">
        <is>
          <t>Phụ trách IT / quản trị hệ thống</t>
        </is>
      </c>
      <c r="B6" s="3" t="n"/>
      <c r="C6" s="3" t="n"/>
      <c r="D6" s="3" t="n"/>
      <c r="E6" s="3" t="n"/>
      <c r="F6" s="3" t="n"/>
    </row>
    <row r="7">
      <c r="A7" s="8" t="inlineStr">
        <is>
          <t>Đầu mối nghiệp vụ Kho</t>
        </is>
      </c>
      <c r="B7" s="3" t="n"/>
      <c r="C7" s="3" t="n"/>
      <c r="D7" s="3" t="n"/>
      <c r="E7" s="3" t="n"/>
      <c r="F7" s="3" t="n"/>
    </row>
    <row r="8">
      <c r="A8" s="8" t="inlineStr">
        <is>
          <t>Đầu mối nghiệp vụ Bán hàng / Mua hàng</t>
        </is>
      </c>
      <c r="B8" s="3" t="n"/>
      <c r="C8" s="3" t="n"/>
      <c r="D8" s="3" t="n"/>
      <c r="E8" s="3" t="n"/>
      <c r="F8" s="3" t="n"/>
    </row>
    <row r="9">
      <c r="A9" s="8" t="inlineStr">
        <is>
          <t>Đầu mối Kế toán / Tài chính</t>
        </is>
      </c>
      <c r="B9" s="3" t="n"/>
      <c r="C9" s="3" t="n"/>
      <c r="D9" s="3" t="n"/>
      <c r="E9" s="3" t="n"/>
      <c r="F9" s="3" t="n"/>
    </row>
    <row r="10">
      <c r="A10" s="8" t="inlineStr">
        <is>
          <t>Đầu mối Nhân sự</t>
        </is>
      </c>
      <c r="B10" s="3" t="n"/>
      <c r="C10" s="3" t="n"/>
      <c r="D10" s="3" t="n"/>
      <c r="E10" s="3" t="n"/>
      <c r="F10" s="3" t="n"/>
    </row>
    <row r="11">
      <c r="A11" s="8" t="inlineStr">
        <is>
          <t>Người ký nghiệm thu</t>
        </is>
      </c>
      <c r="B11" s="3" t="n"/>
      <c r="C11" s="3" t="n"/>
      <c r="D11" s="3" t="n"/>
      <c r="E11" s="3" t="n"/>
      <c r="F11" s="3" t="n"/>
    </row>
    <row r="14">
      <c r="A14" s="7" t="inlineStr">
        <is>
          <t>Hạng mục công việc</t>
        </is>
      </c>
      <c r="B14" s="7" t="inlineStr">
        <is>
          <t>Ngày dự kiến</t>
        </is>
      </c>
      <c r="C14" s="7" t="inlineStr">
        <is>
          <t>Thời lượng</t>
        </is>
      </c>
      <c r="D14" s="7" t="inlineStr">
        <is>
          <t>Người tham gia (KH)</t>
        </is>
      </c>
      <c r="E14" s="7" t="inlineStr">
        <is>
          <t>Địa điểm</t>
        </is>
      </c>
      <c r="F14" s="7" t="inlineStr">
        <is>
          <t>Ghi chú</t>
        </is>
      </c>
    </row>
    <row r="15">
      <c r="A15" s="8" t="inlineStr">
        <is>
          <t>Khảo sát hạ tầng</t>
        </is>
      </c>
      <c r="B15" s="22" t="n"/>
      <c r="C15" s="9" t="inlineStr">
        <is>
          <t>½ ngày</t>
        </is>
      </c>
      <c r="D15" s="3" t="n"/>
      <c r="E15" s="3" t="n"/>
      <c r="F15" s="3" t="n"/>
    </row>
    <row r="16">
      <c r="A16" s="8" t="inlineStr">
        <is>
          <t>Cài đặt máy chủ, CSDL, ứng dụng</t>
        </is>
      </c>
      <c r="B16" s="22" t="n"/>
      <c r="C16" s="9" t="inlineStr">
        <is>
          <t>1 ngày</t>
        </is>
      </c>
      <c r="D16" s="3" t="n"/>
      <c r="E16" s="3" t="n"/>
      <c r="F16" s="3" t="n"/>
    </row>
    <row r="17">
      <c r="A17" s="8" t="inlineStr">
        <is>
          <t>Thiết lập hệ thống &amp; phân quyền</t>
        </is>
      </c>
      <c r="B17" s="22" t="n"/>
      <c r="C17" s="9" t="inlineStr">
        <is>
          <t>1 ngày</t>
        </is>
      </c>
      <c r="D17" s="3" t="n"/>
      <c r="E17" s="3" t="n"/>
      <c r="F17" s="3" t="n"/>
    </row>
    <row r="18">
      <c r="A18" s="8" t="inlineStr">
        <is>
          <t>Nhập dữ liệu danh mục &amp; số dư đầu kỳ</t>
        </is>
      </c>
      <c r="B18" s="22" t="n"/>
      <c r="C18" s="9" t="inlineStr">
        <is>
          <t>1–2 ngày</t>
        </is>
      </c>
      <c r="D18" s="3" t="n"/>
      <c r="E18" s="3" t="n"/>
      <c r="F18" s="3" t="n"/>
    </row>
    <row r="19">
      <c r="A19" s="8" t="inlineStr">
        <is>
          <t>Đào tạo quản trị (IT)</t>
        </is>
      </c>
      <c r="B19" s="22" t="n"/>
      <c r="C19" s="9" t="inlineStr">
        <is>
          <t>½ ngày</t>
        </is>
      </c>
      <c r="D19" s="3" t="n"/>
      <c r="E19" s="3" t="n"/>
      <c r="F19" s="3" t="n"/>
    </row>
    <row r="20">
      <c r="A20" s="8" t="inlineStr">
        <is>
          <t>Đào tạo người dùng theo phân hệ</t>
        </is>
      </c>
      <c r="B20" s="22" t="n"/>
      <c r="C20" s="9" t="inlineStr">
        <is>
          <t>1–2 ngày</t>
        </is>
      </c>
      <c r="D20" s="3" t="n"/>
      <c r="E20" s="3" t="n"/>
      <c r="F20" s="3" t="n"/>
    </row>
    <row r="21">
      <c r="A21" s="8" t="inlineStr">
        <is>
          <t>Chạy thử song song</t>
        </is>
      </c>
      <c r="B21" s="22" t="n"/>
      <c r="C21" s="9" t="inlineStr">
        <is>
          <t>1–2 tuần</t>
        </is>
      </c>
      <c r="D21" s="3" t="n"/>
      <c r="E21" s="3" t="n"/>
      <c r="F21" s="3" t="n"/>
    </row>
    <row r="22">
      <c r="A22" s="8" t="inlineStr">
        <is>
          <t>Nghiệm thu &amp; bàn giao</t>
        </is>
      </c>
      <c r="B22" s="22" t="n"/>
      <c r="C22" s="9" t="inlineStr">
        <is>
          <t>½ ngày</t>
        </is>
      </c>
      <c r="D22" s="3" t="n"/>
      <c r="E22" s="3" t="n"/>
      <c r="F22" s="3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2026-10-02T04:08:55Z</dcterms:created>
  <dcterms:modified xmlns:dcterms="http://purl.org/dc/terms/" xmlns:xsi="http://www.w3.org/2001/XMLSchema-instance" xsi:type="dcterms:W3CDTF">2026-10-02T04:08:55Z</dcterms:modified>
</cp:coreProperties>
</file>